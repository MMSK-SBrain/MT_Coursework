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<sst xmlns="http://schemas.openxmlformats.org/spreadsheetml/2006/main" count="27" uniqueCount="27">
  <si>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Sr. No</t>
  </si>
  <si>
    <t>Component</t>
  </si>
  <si>
    <t>Specification</t>
  </si>
  <si>
    <t>Unit Price</t>
  </si>
  <si>
    <t>Battery Pack Prototyping and Manufacturing Setup</t>
  </si>
  <si>
    <t>1. One set for complete assembly &amp; testing of Battery pack 
2. Practice set for assembly testing and dismantling 
3. Packing materials, soldering iron &amp; Stand (2 Nos.), Hot gun, Glue Gun, Cell holders, Wires, Cutter, Mat, Wire Stripper and Wire Nipper , Metal Sheet Cutter, Captain Tape, FRP Tape, Barley Paper, Multimeter
4. Smart BMS to connect with the Battery pack (2 Sets- One for Assembly and other for Practice)
5. Wires to connect the Battery pack to BMS and parallel/ series connections
6. Consumables: extra cells incase of damage during practical with Table based Workstation (6ft with Racks), Spot-welding machine and IR Tester</t>
  </si>
  <si>
    <t>BMS CAN Protocol cum Analyzer</t>
  </si>
  <si>
    <t>1:Protects the battery pack from over-charge and over discharge thereby extending cycle life
2:Over-temperature and under-temperature protection with fan controls for cooling or heating
3:Provides multiple methods of controlling chargers, motor controllers and other external devices
4:Efficient passive balancing is used to maximize the usable capacity of battery packs
5:Monitors internal resistance of individual cells and the measured capacity of the battery pack
6:Coulomb counting and dynamic drift correction are used to monitor the state of charge
7:A wide cell voltage range supports almost all lithium ion batteries and even some NiMH batteries
8:Parameters such as voltage ranges, current limits and many other settings are easily field changeable.
9:Automotive Grade Electrical Noise Immunity.
10:Dual Programmable CAN Interfaces.
11:Hybrid, PHEV &amp; Electric Vehicles (EV) Features.
12:Software For Data Logging &amp; Programming
13:Programmable Thermal Compensation
14. Bulb based load system to apply and very load
15. Indigenously built BMS system with programmable facility
16. UI and UX for data logging &amp; data import using wifi and USB</t>
  </si>
  <si>
    <t>Battery Pack Charging and Discharing Test Bench</t>
  </si>
  <si>
    <t>Power Supply: AC 220V±10% 50/60HZ
Basic Function: Charge, Discharge, Auto-cycle, Test data analysis, Test data import &amp; export
Applicable Batteries: Lead-acid battery pack, Li-ion battery pack
Battery Rated Voltage: 12V-84V
Battery charge-discharge cycle test.
• Battery charging protection voltage, discharge protection voltage, capacity etc.
• The device has four test steps: charging, discharging, shelving, and cycling.
• Charge and discharge Function: With constant current and constant voltage charging function, Constant current discharge function.
• Check voltage protection: By charging and discharging the battery.
• Safety protection: Anti-reverse connection protection function.
• Compatible Batteries: Lead-acid battery packs, Li-ion battery packs
• Battery Voltage Range: 12V to 84V
• Maximum Cycle Index: 16 cycles
• Operation Modes: Software-controlled, Panel-operated
• Battery Connection: Testing cable with clamps
• Communication Port: LAN
• This device supports up to 16 charge and discharge cycles, making it suitable for use as an aging tester in battery production environments.
Client Needs to supply the System (Free Lifetime Software Access)</t>
  </si>
  <si>
    <t>CAN-LIN System Rig</t>
  </si>
  <si>
    <r>
      <rPr>
        <sz val="11"/>
        <color theme="1"/>
        <rFont val="Calibri"/>
        <charset val="134"/>
        <scheme val="minor"/>
      </rPr>
      <t xml:space="preserve">The Hydraulic Dynamometer Test Bench is an integrated motor testing platform designed for performance evaluation of PMSM and BLDC motors up to 1 kW. The system features automatic hydraulic loading, dual data loggers, CAN-enabled controllers, MATLAB/Simulink support for algorithm development, and a complete sliding motor mounting setup for flexible testing.
Hydraulic Dynamometer (Hydraulic Dyno)
</t>
    </r>
    <r>
      <rPr>
        <b/>
        <sz val="11"/>
        <color theme="1"/>
        <rFont val="Calibri"/>
        <charset val="134"/>
        <scheme val="minor"/>
      </rPr>
      <t>Type</t>
    </r>
    <r>
      <rPr>
        <sz val="11"/>
        <color theme="1"/>
        <rFont val="Calibri"/>
        <charset val="134"/>
        <scheme val="minor"/>
      </rPr>
      <t xml:space="preserve">: Hydraulic Absorption Dynamometer
</t>
    </r>
    <r>
      <rPr>
        <b/>
        <sz val="11"/>
        <color theme="1"/>
        <rFont val="Calibri"/>
        <charset val="134"/>
        <scheme val="minor"/>
      </rPr>
      <t>Load Control:</t>
    </r>
    <r>
      <rPr>
        <sz val="11"/>
        <color theme="1"/>
        <rFont val="Calibri"/>
        <charset val="134"/>
        <scheme val="minor"/>
      </rPr>
      <t xml:space="preserve"> Automatic electronic loading
</t>
    </r>
    <r>
      <rPr>
        <b/>
        <sz val="11"/>
        <color theme="1"/>
        <rFont val="Calibri"/>
        <charset val="134"/>
        <scheme val="minor"/>
      </rPr>
      <t>Rated Capacity</t>
    </r>
    <r>
      <rPr>
        <sz val="11"/>
        <color theme="1"/>
        <rFont val="Calibri"/>
        <charset val="134"/>
        <scheme val="minor"/>
      </rPr>
      <t xml:space="preserve">: Suitable for testing up to 1 kW motors
</t>
    </r>
    <r>
      <rPr>
        <b/>
        <sz val="11"/>
        <color theme="1"/>
        <rFont val="Calibri"/>
        <charset val="134"/>
        <scheme val="minor"/>
      </rPr>
      <t>Torque Measurement</t>
    </r>
    <r>
      <rPr>
        <sz val="11"/>
        <color theme="1"/>
        <rFont val="Calibri"/>
        <charset val="134"/>
        <scheme val="minor"/>
      </rPr>
      <t xml:space="preserve">: High-accuracy torque sensor (via Dyno data logger)
</t>
    </r>
    <r>
      <rPr>
        <b/>
        <sz val="11"/>
        <color theme="1"/>
        <rFont val="Calibri"/>
        <charset val="134"/>
        <scheme val="minor"/>
      </rPr>
      <t>Speed Measurement:</t>
    </r>
    <r>
      <rPr>
        <sz val="11"/>
        <color theme="1"/>
        <rFont val="Calibri"/>
        <charset val="134"/>
        <scheme val="minor"/>
      </rPr>
      <t xml:space="preserve"> Encoder/hall-based RPM capture
</t>
    </r>
    <r>
      <rPr>
        <b/>
        <sz val="11"/>
        <color theme="1"/>
        <rFont val="Calibri"/>
        <charset val="134"/>
        <scheme val="minor"/>
      </rPr>
      <t xml:space="preserve">Cooling: </t>
    </r>
    <r>
      <rPr>
        <sz val="11"/>
        <color theme="1"/>
        <rFont val="Calibri"/>
        <charset val="134"/>
        <scheme val="minor"/>
      </rPr>
      <t xml:space="preserve">Closed-loop hydraulic oil cooling system
</t>
    </r>
    <r>
      <rPr>
        <b/>
        <sz val="11"/>
        <color theme="1"/>
        <rFont val="Calibri"/>
        <charset val="134"/>
        <scheme val="minor"/>
      </rPr>
      <t>Integration:</t>
    </r>
    <r>
      <rPr>
        <sz val="11"/>
        <color theme="1"/>
        <rFont val="Calibri"/>
        <charset val="134"/>
        <scheme val="minor"/>
      </rPr>
      <t xml:space="preserve"> CAN-based dyno controller
Hydraulic Dyno Controller (CAN Enabled):
</t>
    </r>
    <r>
      <rPr>
        <b/>
        <sz val="11"/>
        <color theme="1"/>
        <rFont val="Calibri"/>
        <charset val="134"/>
        <scheme val="minor"/>
      </rPr>
      <t>Communication</t>
    </r>
    <r>
      <rPr>
        <sz val="11"/>
        <color theme="1"/>
        <rFont val="Calibri"/>
        <charset val="134"/>
        <scheme val="minor"/>
      </rPr>
      <t xml:space="preserve">: CAN 2.0B
</t>
    </r>
    <r>
      <rPr>
        <b/>
        <sz val="11"/>
        <color theme="1"/>
        <rFont val="Calibri"/>
        <charset val="134"/>
        <scheme val="minor"/>
      </rPr>
      <t>Functions:</t>
    </r>
    <r>
      <rPr>
        <sz val="11"/>
        <color theme="1"/>
        <rFont val="Calibri"/>
        <charset val="134"/>
        <scheme val="minor"/>
      </rPr>
      <t xml:space="preserve">
Real-time load control
Torque &amp; RPM acquisition
Load curve mapping
Supports: CAN communication to MIDC controller &amp; BMS
</t>
    </r>
    <r>
      <rPr>
        <b/>
        <sz val="11"/>
        <color theme="1"/>
        <rFont val="Calibri"/>
        <charset val="134"/>
        <scheme val="minor"/>
      </rPr>
      <t>Motor Mounting System:</t>
    </r>
    <r>
      <rPr>
        <sz val="11"/>
        <color theme="1"/>
        <rFont val="Calibri"/>
        <charset val="134"/>
        <scheme val="minor"/>
      </rPr>
      <t xml:space="preserve">
Type: Heavy-duty sliding bed mount
Compatibility: PMSM, BLDC motors up to 1 kW
Alignment: Precision coupling alignment system
Base Frame: Vibration-free steel structural fabrication
Motors Included (2 Units):
i. PMSM Motor
Rated Power: 1 kW
Voltage: 48 V
Integrated temperature sensors
ii. BLDC Motor
Rated Power: 1 kW
Voltage: 48 V
3-phase hall sensor feedback
Open Motor Controller (48V):
Type: Open-architecture controller
Supported Motors: PMSM &amp; BLDC
Voltage: 48 V
Current: High-current MOSFET/IGBT stage
MATLAB/Simulink Support: Yes
Starter Algorithms:
Field Oriented Control (FOC)
Six-step commutation
Speed &amp; torque loop basics
MIDC Controller (Motor-Side Data Logger):
Type: High-speed logger for motor electrical parameters
Inputs: Voltage, current, hall sensors, temperature
Communication: CAN output for integration
Logging Rate: High frequency data capture
Dyno Data Logger:
Measured Parameters:
Torque
Speed (RPM)
Hydraulic load pressure
Interface: CAN or RS485</t>
    </r>
  </si>
  <si>
    <t>Vehicle Control Unit(VCU) &amp; Algorithm Developer</t>
  </si>
  <si>
    <r>
      <rPr>
        <b/>
        <sz val="11"/>
        <color theme="1"/>
        <rFont val="Calibri"/>
        <charset val="134"/>
        <scheme val="minor"/>
      </rPr>
      <t>Platform Type:</t>
    </r>
    <r>
      <rPr>
        <sz val="11"/>
        <color theme="1"/>
        <rFont val="Calibri"/>
        <charset val="134"/>
        <scheme val="minor"/>
      </rPr>
      <t xml:space="preserve"> ASIL-rated automotive development platform suitable for safety-critical ECU and VCU development
</t>
    </r>
    <r>
      <rPr>
        <b/>
        <sz val="11"/>
        <color theme="1"/>
        <rFont val="Calibri"/>
        <charset val="134"/>
        <scheme val="minor"/>
      </rPr>
      <t>Controller:</t>
    </r>
    <r>
      <rPr>
        <sz val="11"/>
        <color theme="1"/>
        <rFont val="Calibri"/>
        <charset val="134"/>
        <scheme val="minor"/>
      </rPr>
      <t xml:space="preserve"> NXP Automotive-grade Microcontroller (ASIL-compliant)
</t>
    </r>
    <r>
      <rPr>
        <b/>
        <sz val="11"/>
        <color theme="1"/>
        <rFont val="Calibri"/>
        <charset val="134"/>
        <scheme val="minor"/>
      </rPr>
      <t xml:space="preserve">Base Software: </t>
    </r>
    <r>
      <rPr>
        <sz val="11"/>
        <color theme="1"/>
        <rFont val="Calibri"/>
        <charset val="134"/>
        <scheme val="minor"/>
      </rPr>
      <t xml:space="preserve">NXP base software stack with low-level drivers, middleware, and RTOS support
</t>
    </r>
    <r>
      <rPr>
        <b/>
        <sz val="11"/>
        <color theme="1"/>
        <rFont val="Calibri"/>
        <charset val="134"/>
        <scheme val="minor"/>
      </rPr>
      <t>Application Software (ASW):</t>
    </r>
    <r>
      <rPr>
        <sz val="11"/>
        <color theme="1"/>
        <rFont val="Calibri"/>
        <charset val="134"/>
        <scheme val="minor"/>
      </rPr>
      <t xml:space="preserve">
Starter application and reference architectures
Development support in Embedded C and MATLAB/Simulink
Model-based design and auto-code generation compatibility
</t>
    </r>
    <r>
      <rPr>
        <b/>
        <sz val="11"/>
        <color theme="1"/>
        <rFont val="Calibri"/>
        <charset val="134"/>
        <scheme val="minor"/>
      </rPr>
      <t>Algorithm Development:</t>
    </r>
    <r>
      <rPr>
        <sz val="11"/>
        <color theme="1"/>
        <rFont val="Calibri"/>
        <charset val="134"/>
        <scheme val="minor"/>
      </rPr>
      <t xml:space="preserve">
Control algorithm design, simulation, and validation using Simulink
Suitable for vehicle control, body electronics, and powertrain logic
</t>
    </r>
    <r>
      <rPr>
        <b/>
        <sz val="11"/>
        <color theme="1"/>
        <rFont val="Calibri"/>
        <charset val="134"/>
        <scheme val="minor"/>
      </rPr>
      <t>HIL Support:</t>
    </r>
    <r>
      <rPr>
        <sz val="11"/>
        <color theme="1"/>
        <rFont val="Calibri"/>
        <charset val="134"/>
        <scheme val="minor"/>
      </rPr>
      <t xml:space="preserve">
Mini Hardware-in-the-Loop (HIL) setup provided
Preconfigured for automotive interior lighting control applications
</t>
    </r>
    <r>
      <rPr>
        <b/>
        <sz val="11"/>
        <color theme="1"/>
        <rFont val="Calibri"/>
        <charset val="134"/>
        <scheme val="minor"/>
      </rPr>
      <t>Communication Interfaces:</t>
    </r>
    <r>
      <rPr>
        <sz val="11"/>
        <color theme="1"/>
        <rFont val="Calibri"/>
        <charset val="134"/>
        <scheme val="minor"/>
      </rPr>
      <t xml:space="preserve">
2 × CAN (Controller Area Network)
UART
SPI
</t>
    </r>
    <r>
      <rPr>
        <b/>
        <sz val="11"/>
        <color theme="1"/>
        <rFont val="Calibri"/>
        <charset val="134"/>
        <scheme val="minor"/>
      </rPr>
      <t>Use Cases:</t>
    </r>
    <r>
      <rPr>
        <sz val="11"/>
        <color theme="1"/>
        <rFont val="Calibri"/>
        <charset val="134"/>
        <scheme val="minor"/>
      </rPr>
      <t xml:space="preserve">
VCU logic development and testing
Automotive control algorithm prototyping
ECU validation and functional safety learning</t>
    </r>
  </si>
  <si>
    <t>Electric Vehicle Charging Simulator (CCS2)</t>
  </si>
  <si>
    <t>The Charging Protocol Simulator provides comprehensive visualization and simulation of CCS (Combined 
Charging System) charging protocols, offering detailed analysis of charging messages, timing, and grid impact. 
This platform enables students to understand the complex communication protocols that enable safe, efficient 
electric vehicle charging while analyzing the broader implications for electrical grid infrastructure. 
Target Applications:
• EV charging infrastructure development 
• Grid integration and impact analysis 
• Charging protocol development and validation 
• Smart charging algorithm development 
• Energy management system design
Technical Specifications:
Message Exchange: Complete ISO 15118 message sequence simulation
Timing Analysis: Microsecond-level timing accuracy for protocol validation
Error Injection: Systematic protocol error introduction and handling
Load Simulation: Multiple simultaneous charging session simulation
Protocol Variants: Support for all major regional charging standards
Security Features: TLS encryption and certificate management
Power Flow Solver: Real-time load flow analysis with Newton-Raphson solver
Voltage Regulation: Automatic voltage regulator (AVR) and load tap changer (LTC) modeling
Harmonic Analysis: Total harmonic distortion (THD) calculation and filtering
Protection Systems: Overcurrent, undervoltage, and frequency protection modeling
Economic Modeling: Time-of-use pricing and demand charge optimization
Renewable Integration: Stochastic renewable generation modeling</t>
  </si>
  <si>
    <t>4 Wheeler Drive Train with MIDC Cycle and Regenerative System- PMSM Motor Dyno</t>
  </si>
  <si>
    <t>Motor Type:
Permanent Magnet Synchronous Motor (PMSM)
Rated Power: 2 kW (customizable as per requirement)
Voltage: 48V–96V (as per motor specification)
Cooling: Air-cooled 
Drivetrain Configuration:
Complete 4-Wheeler Powertrain Layout
Includes motor, differential, transmission (if any), and drive shafts
Integration with real-world EV components for functional demonstration
Regenerative Braking System:
Supports dynamic regenerative braking
Energy feedback loop to recharge the battery during braking simulation
Load bank or electronic load for excess energy dissipation
Controllable braking intensity for experimentation
MIDC Driving Cycle Integration:
Pre-programmed controller or software-based simulation of MIDC (Modified Indian Driving Cycle)
Speed profiles mapped to simulate real driving behavior
Load and speed variation replicates urban and highway cycles
Data acquisition during cycle runs for performance study
Instrumentation and Monitoring:
Speed, Torque, Voltage, Current, Temperature sensors
Digital display or integrated HMI panel
Data logging system with USB support or PC interface
Real-time parameter visualization and export
Control Unit:
PMSM-compatible motor controller with regenerative functionality
MIDC cycle program control
Manual and automatic control modes
Training and Diagnostic Features:
Troubleshooting-enabled module for:
Fault injection and identification
Sensor failure simulation
Battery overvoltage/undervoltage simulation
Study of each subsystem (Motor, Controller, Regeneration, Battery Interface)
Battery Simulation:
Programmable DC power supply or simulated battery pack
Voltage: 48V
Overcurrent and short-circuit protection
Mounting and Safety:
Rigid mild steel frame with lockable caster wheels
Acrylic safety enclosures for moving parts
Emergency stop switch and fault indicator system</t>
  </si>
  <si>
    <t>Electric 2W Assembly Teardown Setup</t>
  </si>
  <si>
    <t>The 2-Wheeler Assembly Process Demonstration Training Workbench is an educational tool designed to provide hands-on training in the assembly of two-wheeled vehicles. This workbench simulates real-world assembly processes, allowing trainees to gain practical experience in various components and techniques involved in 2-wheeler manufacturing.
Technical Specifications &amp; Features are:
• 2W Electric Vehicles
BLDC Hub Motor - 1Kw
• Wiring Harness
• Lead Acid Battery-48V
• Lighting System such as Head Light, Indicators etc.
• Throttle &amp; On/Off Switch key etc.
Bluetooth Enabled
Assembly and Dismantling Training
Special Tools- Pneumatic Impact Gun, Air Gun, Torque Wrenches, Insulated Tools Set, Screwdrivers, Pliers, Spanners, Multimeter
Ramp- Type: Hydraulic Scissor Lift Table (Motorized)
Weight Capacity: Upto 300 kg
Platform Size: Minimum 1800 mm x 600 mm
Lift Height: Min. 600 mm – Max. 1100 mm
Power Supply: Single Phase AC / Battery Operated
Operation: Foot pedal or motorized push-button system</t>
  </si>
  <si>
    <t>Hybrid Vehicle Control Stragtegy Test Platform</t>
  </si>
  <si>
    <t>Hybrid Vehicle Control Strategy Test Platform built on Honda Activa 5G, demonstrating dual power-source hybrid architecture, automatic 20 km/h changeover between Electric Drive and IC Engine, and real-time hybrid control strategy evaluation.
Base Vehicle and Mechanical Specs
1. Model: Honda Activa 5G:
2. Engine: 109.19 cc, single-cylinder, 4-stroke, air-cooled
3. Power/Torque: 8.0 PS @ 8000 RPM / 8.79 Nm @ 6500 RPM
4. Fuel Tank: 5.3 L
5. Kerb Weight: -109 kg
6. Top Speed: -80 km/h
Electric Drive System:
1. Motor Type: BLDC, 3-phase
2. Rated Power: 1 kW
3. Voltage: 48 V DC
4. Cooling: Air-cooled
5. Functions:
EV propulsion at 0–20 km/h
Assist support during hybrid mode
Smooth/silent low-speed operation
Battery System:
1. Type: Lithium-ion
2. Voltage/Capacity: 48 V, 35 Ah
3. Protections: Over-voltage, over-current, short-circuit
4. Functions: Supplies EV mode, supports regenerative charge
Hybrid Control Strategy:
1. Changeover Threshold: 20 km/h
2. Speed Sensing: Hall-sensor wheel speed detection
3. Operating Modes:
3.1 EV Mode (0–20 km/h): Motor only, IC engine off, regen braking active
3.2 IC Mode (More Than 20 km/h): Automatic engine start and propulsion
3.3 Reversion (Less Than 20 km/h): Automatic engine cut-off, EV resumes
4. Control Features:
4.1 Hysteresis buffer for stable switching
4.2 Smooth torque transfer and transition
Regenerative Braking:
1. Active during deceleration
2. Converts kinetic energy to charge battery
3. Supports extended EV operation
Experiments / Learning Outcomes:
1. Study of hybrid power flow between IC engine and EV motor
2. Observing speed-based changeover logic (20 km/h threshold)
3. Measurement of motor torque, current, battery response
4. Evaluation of regenerative braking efficiency
5. Comparison of EV vs IC mode energy consumption</t>
  </si>
  <si>
    <t>E-Vehicle Research Lab Car</t>
  </si>
  <si>
    <t>The Open-Source Motor Controller and BMS Integrated Training System is an advanced educational platform designed to simulate real-world EV powertrain control for Permanent Magnet Synchronous Motors (PMSM). It supports Simulink-based modeling, CAN communication, and dynamic motor control, enabling learners to understand the interplay between controller, motor, and battery management systems.
Technical Specifications
Motor Type: PMSM (Permanent Magnet Synchronous Motor)
Controller Type: Open-source motor controller with MATLAB/Simulink support
Rated / Peak Power: 19 kW / 29.5 kW @ 2500 rpm
Control Method: Field-Oriented Control (Vector Control) with regenerative braking
Microcontroller: NXP MCX N94x/54x – Arm Cortex-M7 core
Input Voltage: 90–240V AC / 110–390V DC
PWM Frequency: ≥ 10 kHz
Communication Interfaces: CAN 2.0B / CAN FD, UART, Analog &amp; Digital I/O
Efficiency / Power Factor: ≥ 85% / ≥ 0.9
Protection Features: Overvoltage, Overcurrent, Undervoltage, Overtemperature, Short-Circuit
Battery Type: LiFePO4, 12.8 kWh (24 cells, 185Ah, 22V)
BMS Features SoC &amp; SoH monitoring, active/passive balancing, fault isolation, CAN interface
Charging Control: CC-CV charging with ≥95% efficiency
Display Unit: 7” TFT/OLED, 800×480 px, brightness ≥500 nits
Display Parameters: Speed, SoC, Power Usage, Drive Mode, System Warnings
Enclosure Rating: IP65–IP67
Operating Temperature Range: -40°C to +85°C</t>
  </si>
  <si>
    <t>SUB TOTAL</t>
  </si>
  <si>
    <t>GST</t>
  </si>
  <si>
    <t>GRAND 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</si>
</sst>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5">
    <xf numFmtId="0" fontId="0" fillId="0" borderId="0" xfId="0">
      <alignment vertical="center"/>
    </xf>
    <xf numFmtId="0" fontId="0" fillId="0" borderId="0" xfId="0"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1" fillId="0" borderId="1" xfId="0"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vertical="top"/>
    </xf>
    <xf numFmtId="0" fontId="1" fillId="0" borderId="1" xfId="0" applyFont="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top" wrapText="1"/>
    </xf>
    <xf numFmtId="0" fontId="0" fillId="0" borderId="1" xfId="0" applyBorder="1" applyAlignment="1">
      <alignment horizontal="center" vertical="top"/>
    </xf>
    <xf numFmtId="0" fontId="0" fillId="0" borderId="1" xfId="0" applyFont="1" applyBorder="1" applyAlignment="1">
      <alignment vertical="top" wrapText="1"/>
    </xf>
    <xf numFmtId="0" fontId="1" fillId="0" borderId="1" xfId="0" applyFont="1" applyBorder="1" applyAlignment="1">
      <alignment horizontal="right" vertical="top"/>
    </xf>
    <xf numFmtId="0" fontId="1" fillId="0" borderId="1" xfId="0" applyNumberFormat="1"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tabSelected="1" topLeftCell="A11" workbookViewId="0">
      <selection activeCell="C20" sqref="C20"/>
    </sheetView>
  </sheetViews>
  <sheetFormatPr defaultColWidth="8.88888888888889" defaultRowHeight="14.4" outlineLevelCol="3"/>
  <cols>
    <col min="1" max="1" width="8.88888888888889" style="1"/>
    <col min="2" max="2" width="38.5555555555556" style="2" customWidth="1"/>
    <col min="3" max="3" width="59" style="3" customWidth="1"/>
    <col min="4" max="4" width="8.88888888888889" style="4"/>
  </cols>
  <sheetData>
    <row r="1" spans="1:4">
      <c r="A1" s="5" t="s">
        <v>0</v>
      </c>
      <c r="B1" s="6" t="s">
        <v>1</v>
      </c>
      <c r="C1" s="7" t="s">
        <v>2</v>
      </c>
      <c r="D1" s="8" t="s">
        <v>3</v>
      </c>
    </row>
    <row r="2" ht="172.8" spans="1:4">
      <c r="A2" s="9">
        <v>1</v>
      </c>
      <c r="B2" s="10" t="s">
        <v>4</v>
      </c>
      <c r="C2" s="10" t="s">
        <v>5</v>
      </c>
      <c r="D2" s="11">
        <v>145650</v>
      </c>
    </row>
    <row r="3" ht="345.6" spans="1:4">
      <c r="A3" s="9">
        <v>2</v>
      </c>
      <c r="B3" s="10" t="s">
        <v>6</v>
      </c>
      <c r="C3" s="10" t="s">
        <v>7</v>
      </c>
      <c r="D3" s="11">
        <v>357800</v>
      </c>
    </row>
    <row r="4" ht="331.2" spans="1:4">
      <c r="A4" s="9">
        <v>3</v>
      </c>
      <c r="B4" s="10" t="s">
        <v>8</v>
      </c>
      <c r="C4" s="10" t="s">
        <v>9</v>
      </c>
      <c r="D4" s="11">
        <v>175800</v>
      </c>
    </row>
    <row r="5" ht="409.5" spans="1:4">
      <c r="A5" s="9">
        <v>4</v>
      </c>
      <c r="B5" s="10" t="s">
        <v>10</v>
      </c>
      <c r="C5" s="12" t="s">
        <v>11</v>
      </c>
      <c r="D5" s="11">
        <v>925800</v>
      </c>
    </row>
    <row r="6" ht="331.2" spans="1:4">
      <c r="A6" s="9">
        <v>5</v>
      </c>
      <c r="B6" s="10" t="s">
        <v>12</v>
      </c>
      <c r="C6" s="6" t="s">
        <v>13</v>
      </c>
      <c r="D6" s="11">
        <v>425800</v>
      </c>
    </row>
    <row r="7" ht="409.5" spans="1:4">
      <c r="A7" s="9">
        <v>6</v>
      </c>
      <c r="B7" s="10" t="s">
        <v>14</v>
      </c>
      <c r="C7" s="10" t="s">
        <v>15</v>
      </c>
      <c r="D7" s="11"/>
    </row>
    <row r="8" ht="409.5" spans="1:4">
      <c r="A8" s="9">
        <v>7</v>
      </c>
      <c r="B8" s="10" t="s">
        <v>16</v>
      </c>
      <c r="C8" s="10" t="s">
        <v>17</v>
      </c>
      <c r="D8" s="11">
        <v>689900</v>
      </c>
    </row>
    <row r="9" ht="345.6" spans="1:4">
      <c r="A9" s="9">
        <v>8</v>
      </c>
      <c r="B9" s="10" t="s">
        <v>18</v>
      </c>
      <c r="C9" s="10" t="s">
        <v>19</v>
      </c>
      <c r="D9" s="11">
        <v>205800</v>
      </c>
    </row>
    <row r="10" ht="409.5" spans="1:4">
      <c r="A10" s="9">
        <v>9</v>
      </c>
      <c r="B10" s="10" t="s">
        <v>20</v>
      </c>
      <c r="C10" s="10" t="s">
        <v>21</v>
      </c>
      <c r="D10" s="11">
        <v>625450</v>
      </c>
    </row>
    <row r="11" ht="409.5" spans="1:4">
      <c r="A11" s="9">
        <v>10</v>
      </c>
      <c r="B11" s="10" t="s">
        <v>22</v>
      </c>
      <c r="C11" s="10" t="s">
        <v>23</v>
      </c>
      <c r="D11" s="11">
        <v>2875000</v>
      </c>
    </row>
    <row r="12" spans="3:4">
      <c r="C12" s="13" t="s">
        <v>24</v>
      </c>
      <c r="D12" s="14">
        <f>SUM(D2:D11)</f>
        <v>6427000</v>
      </c>
    </row>
    <row r="13" spans="3:4">
      <c r="C13" s="13" t="s">
        <v>25</v>
      </c>
      <c r="D13" s="8">
        <f>D12*18%</f>
        <v>1156860</v>
      </c>
    </row>
    <row r="14" spans="3:4">
      <c r="C14" s="13" t="s">
        <v>26</v>
      </c>
      <c r="D14" s="8">
        <f>D12+D13</f>
        <v>7583860</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Green Skill Lab (EV &amp; Solar La</cp:lastModifiedBy>
  <dcterms:created xsi:type="dcterms:W3CDTF">2025-12-26T12:57:00Z</dcterms:created>
  <dcterms:modified xsi:type="dcterms:W3CDTF">2026-01-05T12:44:44Z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9712840C038B44489B708F5384847EFF_11</vt:lpwstr>
  </property>
  <property fmtid="{D5CDD505-2E9C-101B-9397-08002B2CF9AE}" pid="3" name="KSOProductBuildVer">
    <vt:lpwstr>2057-12.2.0.23196</vt:lpwstr>
  </property>
</Properties>
</file>